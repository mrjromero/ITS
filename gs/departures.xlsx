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meroJo\Downloads\"/>
    </mc:Choice>
  </mc:AlternateContent>
  <xr:revisionPtr revIDLastSave="0" documentId="13_ncr:1_{B2E02656-4150-4E34-9DB3-34DF939DDBE8}" xr6:coauthVersionLast="47" xr6:coauthVersionMax="47" xr10:uidLastSave="{00000000-0000-0000-0000-000000000000}"/>
  <bookViews>
    <workbookView xWindow="-25320" yWindow="-120" windowWidth="25440" windowHeight="15270" xr2:uid="{C36A865A-F375-4038-B705-8384C35601AE}"/>
  </bookViews>
  <sheets>
    <sheet name="Departure Schedule" sheetId="3" r:id="rId1"/>
    <sheet name="Departures - 11 Sep" sheetId="2" r:id="rId2"/>
  </sheets>
  <definedNames>
    <definedName name="_xlnm.Print_Area" localSheetId="1">'Departures - 11 Sep'!$A$1:$H$34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sharedStrings.xml><?xml version="1.0" encoding="utf-8"?>
<sst xmlns="http://schemas.openxmlformats.org/spreadsheetml/2006/main" count="154" uniqueCount="88">
  <si>
    <t>#</t>
  </si>
  <si>
    <t>Name</t>
  </si>
  <si>
    <t>PAX</t>
  </si>
  <si>
    <t>Flight</t>
  </si>
  <si>
    <t>Date</t>
  </si>
  <si>
    <t>Time</t>
  </si>
  <si>
    <t>EAVU</t>
  </si>
  <si>
    <t>Saúl Ezequiel Brito Valdiviezo</t>
  </si>
  <si>
    <t>Copa Airlines</t>
  </si>
  <si>
    <t>Sep 11</t>
  </si>
  <si>
    <t>GUAU</t>
  </si>
  <si>
    <t xml:space="preserve">Edgardo E Menendez </t>
  </si>
  <si>
    <t>CM 385</t>
  </si>
  <si>
    <t xml:space="preserve">José Ramiro Hernandez </t>
  </si>
  <si>
    <t>CM246</t>
  </si>
  <si>
    <t>ELSU</t>
  </si>
  <si>
    <t>ABEL PACHECO</t>
  </si>
  <si>
    <t>American Airlines</t>
  </si>
  <si>
    <t>AA 2753</t>
  </si>
  <si>
    <t>WEVU</t>
  </si>
  <si>
    <t>Osmar Gonzalez</t>
  </si>
  <si>
    <t>LASER AIRLINES</t>
  </si>
  <si>
    <t>HONU</t>
  </si>
  <si>
    <t>Marvin Scott Peterkin</t>
  </si>
  <si>
    <t>Garry Gregory</t>
  </si>
  <si>
    <t>CM 433</t>
  </si>
  <si>
    <t>Luis Trundle</t>
  </si>
  <si>
    <t>IOMU</t>
  </si>
  <si>
    <t>Antonio Rosas Manrriquez</t>
  </si>
  <si>
    <t>AA264</t>
  </si>
  <si>
    <t xml:space="preserve">Eleazar Hernández </t>
  </si>
  <si>
    <t>GPRDBQ</t>
  </si>
  <si>
    <t>ATCU</t>
  </si>
  <si>
    <t>Roderick Sands</t>
  </si>
  <si>
    <t>CUBU</t>
  </si>
  <si>
    <t>Ainota Prevall</t>
  </si>
  <si>
    <t>BELU</t>
  </si>
  <si>
    <t xml:space="preserve">Wagnes Maxine Bodden </t>
  </si>
  <si>
    <t>Luis Jesse</t>
  </si>
  <si>
    <t>Al Powell</t>
  </si>
  <si>
    <t>Adán  Ramos Lagos</t>
  </si>
  <si>
    <t>DUCU</t>
  </si>
  <si>
    <t>Gerline Isidora</t>
  </si>
  <si>
    <t>NICU</t>
  </si>
  <si>
    <t>Hector I Alvarado Arauz</t>
  </si>
  <si>
    <t>Avianca</t>
  </si>
  <si>
    <t>AV397</t>
  </si>
  <si>
    <t>Roberto Carlos Davila</t>
  </si>
  <si>
    <t>Wilfredo Ruiz</t>
  </si>
  <si>
    <t>Avianca El Salvador</t>
  </si>
  <si>
    <t>CEMU</t>
  </si>
  <si>
    <t>EDMUNDO GÓMEZ</t>
  </si>
  <si>
    <t>Aeroméxico</t>
  </si>
  <si>
    <t>AM 0423</t>
  </si>
  <si>
    <t>NOCU</t>
  </si>
  <si>
    <t>Gladys Bermúdez Ramírez</t>
  </si>
  <si>
    <t>AV127</t>
  </si>
  <si>
    <t>SOMU</t>
  </si>
  <si>
    <t>Javier Dominguez</t>
  </si>
  <si>
    <t>CORU</t>
  </si>
  <si>
    <t>Ricardo Marin</t>
  </si>
  <si>
    <t>AV605</t>
  </si>
  <si>
    <t>Eddy Bonilla</t>
  </si>
  <si>
    <t>AV 605</t>
  </si>
  <si>
    <t>NOMU</t>
  </si>
  <si>
    <t>Volaris</t>
  </si>
  <si>
    <t>HIDAI BEJARANO</t>
  </si>
  <si>
    <t>YA1791</t>
  </si>
  <si>
    <t>CARU</t>
  </si>
  <si>
    <t>Bertie Henry</t>
  </si>
  <si>
    <t>Caribbean Airlines</t>
  </si>
  <si>
    <t>JAMU</t>
  </si>
  <si>
    <t>Adlai Blythe</t>
  </si>
  <si>
    <t>AA590</t>
  </si>
  <si>
    <t>LUIS A AGUILLON LOPEZ</t>
  </si>
  <si>
    <t xml:space="preserve">Yaima Cano Aleman / Aliet Mayo </t>
  </si>
  <si>
    <t>Union</t>
  </si>
  <si>
    <t>Airline</t>
  </si>
  <si>
    <t>FLIGHT TIME BETWEEN</t>
  </si>
  <si>
    <t>DEPARTURE FROM HOTEL</t>
  </si>
  <si>
    <t>6:00 AM - 6:30 AM</t>
  </si>
  <si>
    <t>7:15 AM - 7:30 AM</t>
  </si>
  <si>
    <t>8:25 AM - 8:37 AM</t>
  </si>
  <si>
    <t>10:00 AM - 10:20  AM</t>
  </si>
  <si>
    <t>12:00 PM - 12:31 AM</t>
  </si>
  <si>
    <t>1:450 PM - 2:32 PM</t>
  </si>
  <si>
    <t>3:10 PM - 5:14 PM</t>
  </si>
  <si>
    <t>9/11/2026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</si>
</sst>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8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4"/>
      <color rgb="FF000000"/>
      <name val="Cambria"/>
      <family val="1"/>
    </font>
    <font>
      <sz val="14"/>
      <color rgb="FF000000"/>
      <name val="Cambria"/>
      <family val="1"/>
    </font>
    <font>
      <b/>
      <sz val="18"/>
      <color theme="1"/>
      <name val="Cambria"/>
      <family val="1"/>
    </font>
    <font>
      <sz val="11"/>
      <color theme="1"/>
      <name val="Cambria"/>
      <family val="1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02">
    <xf numFmtId="0" fontId="0" fillId="0" borderId="0" xfId="0"/>
    <xf numFmtId="0" fontId="0" fillId="0" borderId="0" xfId="0" applyAlignment="1">
      <alignment horizontal="center"/>
    </xf>
    <xf numFmtId="0" fontId="2" fillId="3" borderId="5" xfId="0" applyFont="1" applyFill="1" applyBorder="1" applyAlignment="1">
      <alignment horizontal="center"/>
    </xf>
    <xf numFmtId="0" fontId="3" fillId="3" borderId="6" xfId="0" applyFont="1" applyFill="1" applyBorder="1"/>
    <xf numFmtId="0" fontId="3" fillId="3" borderId="6" xfId="0" applyFont="1" applyFill="1" applyBorder="1" applyAlignment="1">
      <alignment horizontal="center"/>
    </xf>
    <xf numFmtId="18" fontId="3" fillId="3" borderId="6" xfId="0" applyNumberFormat="1" applyFont="1" applyFill="1" applyBorder="1"/>
    <xf numFmtId="0" fontId="3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3" fillId="3" borderId="9" xfId="0" applyFont="1" applyFill="1" applyBorder="1"/>
    <xf numFmtId="0" fontId="3" fillId="3" borderId="9" xfId="0" applyFont="1" applyFill="1" applyBorder="1" applyAlignment="1">
      <alignment horizontal="center"/>
    </xf>
    <xf numFmtId="18" fontId="3" fillId="3" borderId="9" xfId="0" applyNumberFormat="1" applyFont="1" applyFill="1" applyBorder="1"/>
    <xf numFmtId="0" fontId="3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3" xfId="0" applyFont="1" applyFill="1" applyBorder="1"/>
    <xf numFmtId="18" fontId="3" fillId="3" borderId="13" xfId="0" applyNumberFormat="1" applyFont="1" applyFill="1" applyBorder="1"/>
    <xf numFmtId="0" fontId="3" fillId="3" borderId="1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4" borderId="6" xfId="0" applyFont="1" applyFill="1" applyBorder="1"/>
    <xf numFmtId="18" fontId="3" fillId="4" borderId="6" xfId="0" applyNumberFormat="1" applyFont="1" applyFill="1" applyBorder="1"/>
    <xf numFmtId="0" fontId="2" fillId="4" borderId="12" xfId="0" applyFont="1" applyFill="1" applyBorder="1" applyAlignment="1">
      <alignment horizontal="center"/>
    </xf>
    <xf numFmtId="0" fontId="3" fillId="4" borderId="13" xfId="0" applyFont="1" applyFill="1" applyBorder="1"/>
    <xf numFmtId="0" fontId="3" fillId="4" borderId="13" xfId="0" applyFont="1" applyFill="1" applyBorder="1" applyAlignment="1">
      <alignment horizontal="center"/>
    </xf>
    <xf numFmtId="18" fontId="3" fillId="4" borderId="13" xfId="0" applyNumberFormat="1" applyFont="1" applyFill="1" applyBorder="1"/>
    <xf numFmtId="0" fontId="3" fillId="4" borderId="1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3" fillId="5" borderId="6" xfId="0" applyFont="1" applyFill="1" applyBorder="1"/>
    <xf numFmtId="0" fontId="3" fillId="5" borderId="6" xfId="0" applyFont="1" applyFill="1" applyBorder="1" applyAlignment="1">
      <alignment horizontal="center"/>
    </xf>
    <xf numFmtId="18" fontId="3" fillId="5" borderId="6" xfId="0" applyNumberFormat="1" applyFont="1" applyFill="1" applyBorder="1"/>
    <xf numFmtId="0" fontId="3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3" fillId="5" borderId="9" xfId="0" applyFont="1" applyFill="1" applyBorder="1"/>
    <xf numFmtId="0" fontId="3" fillId="5" borderId="9" xfId="0" applyFont="1" applyFill="1" applyBorder="1" applyAlignment="1">
      <alignment horizontal="center"/>
    </xf>
    <xf numFmtId="18" fontId="3" fillId="5" borderId="9" xfId="0" applyNumberFormat="1" applyFont="1" applyFill="1" applyBorder="1"/>
    <xf numFmtId="0" fontId="3" fillId="5" borderId="11" xfId="0" applyFont="1" applyFill="1" applyBorder="1" applyAlignment="1">
      <alignment horizontal="center"/>
    </xf>
    <xf numFmtId="0" fontId="2" fillId="5" borderId="12" xfId="0" applyFont="1" applyFill="1" applyBorder="1" applyAlignment="1">
      <alignment horizontal="center"/>
    </xf>
    <xf numFmtId="0" fontId="3" fillId="5" borderId="13" xfId="0" applyFont="1" applyFill="1" applyBorder="1"/>
    <xf numFmtId="0" fontId="3" fillId="5" borderId="13" xfId="0" applyFont="1" applyFill="1" applyBorder="1" applyAlignment="1">
      <alignment horizontal="center"/>
    </xf>
    <xf numFmtId="18" fontId="3" fillId="5" borderId="13" xfId="0" applyNumberFormat="1" applyFont="1" applyFill="1" applyBorder="1"/>
    <xf numFmtId="0" fontId="3" fillId="5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3" fillId="2" borderId="10" xfId="0" applyFont="1" applyFill="1" applyBorder="1"/>
    <xf numFmtId="0" fontId="3" fillId="2" borderId="10" xfId="0" applyFont="1" applyFill="1" applyBorder="1" applyAlignment="1">
      <alignment horizontal="center"/>
    </xf>
    <xf numFmtId="18" fontId="3" fillId="2" borderId="10" xfId="0" applyNumberFormat="1" applyFont="1" applyFill="1" applyBorder="1"/>
    <xf numFmtId="0" fontId="3" fillId="2" borderId="16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3" fillId="6" borderId="6" xfId="0" applyFont="1" applyFill="1" applyBorder="1"/>
    <xf numFmtId="0" fontId="3" fillId="6" borderId="6" xfId="0" applyFont="1" applyFill="1" applyBorder="1" applyAlignment="1">
      <alignment horizontal="center"/>
    </xf>
    <xf numFmtId="18" fontId="3" fillId="6" borderId="6" xfId="0" applyNumberFormat="1" applyFont="1" applyFill="1" applyBorder="1"/>
    <xf numFmtId="0" fontId="3" fillId="6" borderId="7" xfId="0" applyFont="1" applyFill="1" applyBorder="1" applyAlignment="1">
      <alignment horizontal="center"/>
    </xf>
    <xf numFmtId="0" fontId="2" fillId="6" borderId="8" xfId="0" applyFont="1" applyFill="1" applyBorder="1" applyAlignment="1">
      <alignment horizontal="center"/>
    </xf>
    <xf numFmtId="0" fontId="3" fillId="6" borderId="9" xfId="0" applyFont="1" applyFill="1" applyBorder="1"/>
    <xf numFmtId="0" fontId="3" fillId="6" borderId="9" xfId="0" applyFont="1" applyFill="1" applyBorder="1" applyAlignment="1">
      <alignment horizontal="center"/>
    </xf>
    <xf numFmtId="18" fontId="3" fillId="6" borderId="9" xfId="0" applyNumberFormat="1" applyFont="1" applyFill="1" applyBorder="1"/>
    <xf numFmtId="0" fontId="3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3" fillId="6" borderId="13" xfId="0" applyFont="1" applyFill="1" applyBorder="1"/>
    <xf numFmtId="0" fontId="3" fillId="6" borderId="13" xfId="0" applyFont="1" applyFill="1" applyBorder="1" applyAlignment="1">
      <alignment horizontal="center"/>
    </xf>
    <xf numFmtId="18" fontId="3" fillId="6" borderId="13" xfId="0" applyNumberFormat="1" applyFont="1" applyFill="1" applyBorder="1"/>
    <xf numFmtId="0" fontId="3" fillId="6" borderId="14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3" fillId="7" borderId="18" xfId="0" applyFont="1" applyFill="1" applyBorder="1"/>
    <xf numFmtId="0" fontId="3" fillId="7" borderId="18" xfId="0" applyFont="1" applyFill="1" applyBorder="1" applyAlignment="1">
      <alignment horizontal="center"/>
    </xf>
    <xf numFmtId="18" fontId="3" fillId="7" borderId="18" xfId="0" applyNumberFormat="1" applyFont="1" applyFill="1" applyBorder="1"/>
    <xf numFmtId="0" fontId="3" fillId="7" borderId="19" xfId="0" applyFont="1" applyFill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0" fontId="3" fillId="7" borderId="9" xfId="0" applyFont="1" applyFill="1" applyBorder="1"/>
    <xf numFmtId="18" fontId="3" fillId="7" borderId="9" xfId="0" applyNumberFormat="1" applyFont="1" applyFill="1" applyBorder="1"/>
    <xf numFmtId="0" fontId="3" fillId="7" borderId="11" xfId="0" applyFont="1" applyFill="1" applyBorder="1" applyAlignment="1">
      <alignment horizontal="center"/>
    </xf>
    <xf numFmtId="0" fontId="3" fillId="7" borderId="3" xfId="0" applyFont="1" applyFill="1" applyBorder="1"/>
    <xf numFmtId="0" fontId="3" fillId="7" borderId="3" xfId="0" applyFont="1" applyFill="1" applyBorder="1" applyAlignment="1">
      <alignment horizontal="center"/>
    </xf>
    <xf numFmtId="18" fontId="3" fillId="7" borderId="3" xfId="0" applyNumberFormat="1" applyFont="1" applyFill="1" applyBorder="1"/>
    <xf numFmtId="0" fontId="3" fillId="7" borderId="4" xfId="0" applyFont="1" applyFill="1" applyBorder="1" applyAlignment="1">
      <alignment horizontal="center"/>
    </xf>
    <xf numFmtId="0" fontId="3" fillId="8" borderId="6" xfId="0" applyFont="1" applyFill="1" applyBorder="1"/>
    <xf numFmtId="0" fontId="3" fillId="8" borderId="6" xfId="0" applyFont="1" applyFill="1" applyBorder="1" applyAlignment="1">
      <alignment horizontal="center"/>
    </xf>
    <xf numFmtId="18" fontId="3" fillId="8" borderId="6" xfId="0" applyNumberFormat="1" applyFont="1" applyFill="1" applyBorder="1"/>
    <xf numFmtId="0" fontId="3" fillId="8" borderId="7" xfId="0" applyFont="1" applyFill="1" applyBorder="1" applyAlignment="1">
      <alignment horizontal="center"/>
    </xf>
    <xf numFmtId="0" fontId="3" fillId="8" borderId="9" xfId="0" applyFont="1" applyFill="1" applyBorder="1"/>
    <xf numFmtId="0" fontId="3" fillId="8" borderId="9" xfId="0" applyFont="1" applyFill="1" applyBorder="1" applyAlignment="1">
      <alignment horizontal="center"/>
    </xf>
    <xf numFmtId="18" fontId="3" fillId="8" borderId="9" xfId="0" applyNumberFormat="1" applyFont="1" applyFill="1" applyBorder="1"/>
    <xf numFmtId="0" fontId="3" fillId="8" borderId="11" xfId="0" applyFont="1" applyFill="1" applyBorder="1" applyAlignment="1">
      <alignment horizontal="center"/>
    </xf>
    <xf numFmtId="0" fontId="3" fillId="8" borderId="13" xfId="0" applyFont="1" applyFill="1" applyBorder="1" applyAlignment="1">
      <alignment horizontal="center"/>
    </xf>
    <xf numFmtId="0" fontId="3" fillId="8" borderId="13" xfId="0" applyFont="1" applyFill="1" applyBorder="1"/>
    <xf numFmtId="18" fontId="3" fillId="8" borderId="13" xfId="0" applyNumberFormat="1" applyFont="1" applyFill="1" applyBorder="1"/>
    <xf numFmtId="0" fontId="5" fillId="0" borderId="22" xfId="1" applyFont="1" applyBorder="1"/>
    <xf numFmtId="0" fontId="5" fillId="0" borderId="23" xfId="1" applyFont="1" applyBorder="1"/>
    <xf numFmtId="0" fontId="6" fillId="0" borderId="22" xfId="1" applyFont="1" applyBorder="1" applyAlignment="1">
      <alignment horizontal="center"/>
    </xf>
    <xf numFmtId="0" fontId="6" fillId="0" borderId="23" xfId="1" applyFont="1" applyBorder="1" applyAlignment="1">
      <alignment horizontal="center"/>
    </xf>
    <xf numFmtId="0" fontId="7" fillId="0" borderId="22" xfId="1" applyFont="1" applyBorder="1" applyAlignment="1">
      <alignment horizontal="center"/>
    </xf>
    <xf numFmtId="18" fontId="7" fillId="0" borderId="23" xfId="1" applyNumberFormat="1" applyFont="1" applyBorder="1" applyAlignment="1">
      <alignment horizontal="center"/>
    </xf>
    <xf numFmtId="164" fontId="7" fillId="0" borderId="23" xfId="1" applyNumberFormat="1" applyFont="1" applyBorder="1" applyAlignment="1">
      <alignment horizontal="center"/>
    </xf>
    <xf numFmtId="0" fontId="5" fillId="0" borderId="1" xfId="1" applyFont="1" applyBorder="1"/>
    <xf numFmtId="0" fontId="5" fillId="0" borderId="2" xfId="1" applyFont="1" applyBorder="1" applyAlignment="1">
      <alignment horizontal="center"/>
    </xf>
    <xf numFmtId="0" fontId="2" fillId="9" borderId="24" xfId="0" applyFont="1" applyFill="1" applyBorder="1" applyAlignment="1">
      <alignment horizontal="center"/>
    </xf>
    <xf numFmtId="0" fontId="2" fillId="9" borderId="25" xfId="0" applyFont="1" applyFill="1" applyBorder="1" applyAlignment="1">
      <alignment horizontal="center"/>
    </xf>
    <xf numFmtId="0" fontId="2" fillId="9" borderId="26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3" fillId="8" borderId="14" xfId="0" applyFont="1" applyFill="1" applyBorder="1" applyAlignment="1">
      <alignment horizontal="center"/>
    </xf>
    <xf numFmtId="0" fontId="4" fillId="9" borderId="20" xfId="1" quotePrefix="1" applyFont="1" applyFill="1" applyBorder="1" applyAlignment="1">
      <alignment horizontal="center" vertical="center"/>
    </xf>
    <xf numFmtId="0" fontId="4" fillId="9" borderId="21" xfId="1" quotePrefix="1" applyFont="1" applyFill="1" applyBorder="1" applyAlignment="1">
      <alignment horizontal="center" vertical="center"/>
    </xf>
  </cellXfs>
  <cellStyles count="2">
    <cellStyle name="Normal" xfId="0" builtinId="0"/>
    <cellStyle name="Normal 2" xfId="1" xr:uid="{E1E73D36-70F5-4251-B888-931A8962124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087A8-C241-409C-99E8-E4F1AFEDC499}">
  <dimension ref="B3:C14"/>
  <sheetViews>
    <sheetView tabSelected="1" workbookViewId="0">
      <selection activeCell="B4" sqref="B4:C4"/>
    </sheetView>
  </sheetViews>
  <sheetFormatPr defaultRowHeight="15" x14ac:dyDescent="0.25"/>
  <cols>
    <col min="2" max="2" width="34.42578125" customWidth="1"/>
    <col min="3" max="3" width="40" customWidth="1"/>
  </cols>
  <sheetData>
    <row r="3" spans="2:3" ht="15.75" thickBot="1" x14ac:dyDescent="0.3"/>
    <row r="4" spans="2:3" ht="23.25" thickBot="1" x14ac:dyDescent="0.3">
      <c r="B4" s="100" t="s">
        <v>87</v>
      </c>
      <c r="C4" s="101"/>
    </row>
    <row r="5" spans="2:3" x14ac:dyDescent="0.25">
      <c r="B5" s="86"/>
      <c r="C5" s="87"/>
    </row>
    <row r="6" spans="2:3" ht="18" x14ac:dyDescent="0.25">
      <c r="B6" s="88" t="s">
        <v>78</v>
      </c>
      <c r="C6" s="89" t="s">
        <v>79</v>
      </c>
    </row>
    <row r="7" spans="2:3" ht="18" x14ac:dyDescent="0.25">
      <c r="B7" s="90" t="s">
        <v>80</v>
      </c>
      <c r="C7" s="91">
        <v>0.14583333333333334</v>
      </c>
    </row>
    <row r="8" spans="2:3" ht="18" x14ac:dyDescent="0.25">
      <c r="B8" s="90" t="s">
        <v>81</v>
      </c>
      <c r="C8" s="91">
        <v>0.17708333333333334</v>
      </c>
    </row>
    <row r="9" spans="2:3" ht="18" x14ac:dyDescent="0.25">
      <c r="B9" s="90" t="s">
        <v>82</v>
      </c>
      <c r="C9" s="91">
        <v>0.22916666666666666</v>
      </c>
    </row>
    <row r="10" spans="2:3" ht="18" x14ac:dyDescent="0.25">
      <c r="B10" s="90" t="s">
        <v>83</v>
      </c>
      <c r="C10" s="91">
        <v>0.29166666666666669</v>
      </c>
    </row>
    <row r="11" spans="2:3" ht="18" x14ac:dyDescent="0.25">
      <c r="B11" s="90" t="s">
        <v>84</v>
      </c>
      <c r="C11" s="91">
        <v>0.375</v>
      </c>
    </row>
    <row r="12" spans="2:3" ht="18" x14ac:dyDescent="0.25">
      <c r="B12" s="90" t="s">
        <v>85</v>
      </c>
      <c r="C12" s="92">
        <v>0.45833333333333331</v>
      </c>
    </row>
    <row r="13" spans="2:3" ht="18" x14ac:dyDescent="0.25">
      <c r="B13" s="90" t="s">
        <v>86</v>
      </c>
      <c r="C13" s="91">
        <v>0.5</v>
      </c>
    </row>
    <row r="14" spans="2:3" ht="15.75" thickBot="1" x14ac:dyDescent="0.3">
      <c r="B14" s="93"/>
      <c r="C14" s="94"/>
    </row>
  </sheetData>
  <mergeCells count="1">
    <mergeCell ref="B4:C4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B6423-8BE8-4C9F-82BF-4BE0311CA638}">
  <dimension ref="A1:H31"/>
  <sheetViews>
    <sheetView topLeftCell="A5" zoomScaleNormal="100" workbookViewId="0">
      <selection activeCell="A32" sqref="A32:XFD35"/>
    </sheetView>
  </sheetViews>
  <sheetFormatPr defaultRowHeight="15" x14ac:dyDescent="0.25"/>
  <cols>
    <col min="1" max="1" width="9.85546875" style="1" bestFit="1" customWidth="1"/>
    <col min="2" max="2" width="9.85546875" style="1" customWidth="1"/>
    <col min="3" max="3" width="16" style="1" customWidth="1"/>
    <col min="4" max="4" width="9.85546875" style="1" customWidth="1"/>
    <col min="5" max="5" width="49.7109375" style="1" customWidth="1"/>
    <col min="6" max="6" width="12.5703125" style="1" customWidth="1"/>
    <col min="7" max="7" width="18.42578125" style="1" customWidth="1"/>
    <col min="8" max="8" width="41.5703125" style="1" customWidth="1"/>
  </cols>
  <sheetData>
    <row r="1" spans="1:8" ht="18.75" thickBot="1" x14ac:dyDescent="0.3">
      <c r="A1" s="95" t="s">
        <v>0</v>
      </c>
      <c r="B1" s="96" t="s">
        <v>4</v>
      </c>
      <c r="C1" s="96" t="s">
        <v>5</v>
      </c>
      <c r="D1" s="96" t="s">
        <v>3</v>
      </c>
      <c r="E1" s="96" t="s">
        <v>1</v>
      </c>
      <c r="F1" s="96" t="s">
        <v>2</v>
      </c>
      <c r="G1" s="96" t="s">
        <v>76</v>
      </c>
      <c r="H1" s="97" t="s">
        <v>77</v>
      </c>
    </row>
    <row r="2" spans="1:8" ht="18" x14ac:dyDescent="0.25">
      <c r="A2" s="2">
        <v>1</v>
      </c>
      <c r="B2" s="3" t="s">
        <v>9</v>
      </c>
      <c r="C2" s="5">
        <v>0.25069444444444444</v>
      </c>
      <c r="D2" s="4">
        <v>173</v>
      </c>
      <c r="E2" s="3" t="s">
        <v>7</v>
      </c>
      <c r="F2" s="4">
        <v>1</v>
      </c>
      <c r="G2" s="4" t="s">
        <v>6</v>
      </c>
      <c r="H2" s="6" t="s">
        <v>8</v>
      </c>
    </row>
    <row r="3" spans="1:8" ht="18" x14ac:dyDescent="0.25">
      <c r="A3" s="7">
        <f>SUM(A2+1)</f>
        <v>2</v>
      </c>
      <c r="B3" s="8" t="s">
        <v>9</v>
      </c>
      <c r="C3" s="10">
        <v>0.26458333333333334</v>
      </c>
      <c r="D3" s="9" t="s">
        <v>12</v>
      </c>
      <c r="E3" s="8" t="s">
        <v>11</v>
      </c>
      <c r="F3" s="9">
        <v>1</v>
      </c>
      <c r="G3" s="9" t="s">
        <v>10</v>
      </c>
      <c r="H3" s="11" t="s">
        <v>8</v>
      </c>
    </row>
    <row r="4" spans="1:8" ht="18.75" thickBot="1" x14ac:dyDescent="0.3">
      <c r="A4" s="12">
        <f t="shared" ref="A4:A31" si="0">SUM(A3+1)</f>
        <v>3</v>
      </c>
      <c r="B4" s="13" t="s">
        <v>9</v>
      </c>
      <c r="C4" s="15">
        <v>0.26458333333333334</v>
      </c>
      <c r="D4" s="13" t="s">
        <v>14</v>
      </c>
      <c r="E4" s="14" t="s">
        <v>13</v>
      </c>
      <c r="F4" s="13">
        <v>1</v>
      </c>
      <c r="G4" s="13" t="s">
        <v>10</v>
      </c>
      <c r="H4" s="16" t="s">
        <v>8</v>
      </c>
    </row>
    <row r="5" spans="1:8" ht="18" x14ac:dyDescent="0.25">
      <c r="A5" s="17">
        <f t="shared" si="0"/>
        <v>4</v>
      </c>
      <c r="B5" s="18" t="s">
        <v>9</v>
      </c>
      <c r="C5" s="20">
        <v>0.30208333333333331</v>
      </c>
      <c r="D5" s="18" t="s">
        <v>18</v>
      </c>
      <c r="E5" s="19" t="s">
        <v>16</v>
      </c>
      <c r="F5" s="18">
        <v>1</v>
      </c>
      <c r="G5" s="18" t="s">
        <v>15</v>
      </c>
      <c r="H5" s="98" t="s">
        <v>17</v>
      </c>
    </row>
    <row r="6" spans="1:8" ht="18.75" thickBot="1" x14ac:dyDescent="0.3">
      <c r="A6" s="21">
        <f t="shared" si="0"/>
        <v>5</v>
      </c>
      <c r="B6" s="22" t="s">
        <v>9</v>
      </c>
      <c r="C6" s="24">
        <v>0.3125</v>
      </c>
      <c r="D6" s="23">
        <v>200</v>
      </c>
      <c r="E6" s="22" t="s">
        <v>20</v>
      </c>
      <c r="F6" s="23">
        <v>1</v>
      </c>
      <c r="G6" s="23" t="s">
        <v>19</v>
      </c>
      <c r="H6" s="25" t="s">
        <v>21</v>
      </c>
    </row>
    <row r="7" spans="1:8" ht="18" x14ac:dyDescent="0.25">
      <c r="A7" s="26">
        <f t="shared" si="0"/>
        <v>6</v>
      </c>
      <c r="B7" s="27" t="s">
        <v>9</v>
      </c>
      <c r="C7" s="29">
        <v>0.35069444444444442</v>
      </c>
      <c r="D7" s="28">
        <v>433</v>
      </c>
      <c r="E7" s="27" t="s">
        <v>23</v>
      </c>
      <c r="F7" s="28">
        <v>1</v>
      </c>
      <c r="G7" s="28" t="s">
        <v>22</v>
      </c>
      <c r="H7" s="30" t="s">
        <v>8</v>
      </c>
    </row>
    <row r="8" spans="1:8" ht="18" x14ac:dyDescent="0.25">
      <c r="A8" s="31">
        <f t="shared" si="0"/>
        <v>7</v>
      </c>
      <c r="B8" s="32" t="s">
        <v>9</v>
      </c>
      <c r="C8" s="34">
        <v>0.35069444444444442</v>
      </c>
      <c r="D8" s="33" t="s">
        <v>25</v>
      </c>
      <c r="E8" s="32" t="s">
        <v>24</v>
      </c>
      <c r="F8" s="33">
        <v>1</v>
      </c>
      <c r="G8" s="33" t="s">
        <v>22</v>
      </c>
      <c r="H8" s="35" t="s">
        <v>8</v>
      </c>
    </row>
    <row r="9" spans="1:8" ht="18" x14ac:dyDescent="0.25">
      <c r="A9" s="31">
        <f t="shared" si="0"/>
        <v>8</v>
      </c>
      <c r="B9" s="33" t="s">
        <v>9</v>
      </c>
      <c r="C9" s="34">
        <v>0.35069444444444442</v>
      </c>
      <c r="D9" s="33" t="s">
        <v>25</v>
      </c>
      <c r="E9" s="32" t="s">
        <v>26</v>
      </c>
      <c r="F9" s="33">
        <v>1</v>
      </c>
      <c r="G9" s="33" t="s">
        <v>22</v>
      </c>
      <c r="H9" s="35" t="s">
        <v>8</v>
      </c>
    </row>
    <row r="10" spans="1:8" ht="18" x14ac:dyDescent="0.25">
      <c r="A10" s="31">
        <f t="shared" si="0"/>
        <v>9</v>
      </c>
      <c r="B10" s="32" t="s">
        <v>9</v>
      </c>
      <c r="C10" s="34">
        <v>0.35902777777777778</v>
      </c>
      <c r="D10" s="33" t="s">
        <v>29</v>
      </c>
      <c r="E10" s="32" t="s">
        <v>28</v>
      </c>
      <c r="F10" s="33">
        <v>1</v>
      </c>
      <c r="G10" s="33" t="s">
        <v>27</v>
      </c>
      <c r="H10" s="35" t="s">
        <v>17</v>
      </c>
    </row>
    <row r="11" spans="1:8" ht="18.75" thickBot="1" x14ac:dyDescent="0.3">
      <c r="A11" s="36">
        <f t="shared" si="0"/>
        <v>10</v>
      </c>
      <c r="B11" s="37" t="s">
        <v>9</v>
      </c>
      <c r="C11" s="39">
        <v>0.35902777777777778</v>
      </c>
      <c r="D11" s="38" t="s">
        <v>31</v>
      </c>
      <c r="E11" s="37" t="s">
        <v>30</v>
      </c>
      <c r="F11" s="38">
        <v>1</v>
      </c>
      <c r="G11" s="38" t="s">
        <v>27</v>
      </c>
      <c r="H11" s="40" t="s">
        <v>17</v>
      </c>
    </row>
    <row r="12" spans="1:8" ht="18.75" thickBot="1" x14ac:dyDescent="0.3">
      <c r="A12" s="41">
        <f t="shared" si="0"/>
        <v>11</v>
      </c>
      <c r="B12" s="42" t="s">
        <v>9</v>
      </c>
      <c r="C12" s="44">
        <v>0.42777777777777776</v>
      </c>
      <c r="D12" s="43">
        <v>4178</v>
      </c>
      <c r="E12" s="42" t="s">
        <v>33</v>
      </c>
      <c r="F12" s="43">
        <v>1</v>
      </c>
      <c r="G12" s="43" t="s">
        <v>32</v>
      </c>
      <c r="H12" s="45" t="s">
        <v>17</v>
      </c>
    </row>
    <row r="13" spans="1:8" ht="18" x14ac:dyDescent="0.25">
      <c r="A13" s="46">
        <f t="shared" si="0"/>
        <v>12</v>
      </c>
      <c r="B13" s="47" t="s">
        <v>9</v>
      </c>
      <c r="C13" s="49">
        <v>0.5</v>
      </c>
      <c r="D13" s="48">
        <v>2705</v>
      </c>
      <c r="E13" s="47" t="s">
        <v>35</v>
      </c>
      <c r="F13" s="48">
        <v>1</v>
      </c>
      <c r="G13" s="48" t="s">
        <v>34</v>
      </c>
      <c r="H13" s="50" t="s">
        <v>17</v>
      </c>
    </row>
    <row r="14" spans="1:8" ht="18" x14ac:dyDescent="0.25">
      <c r="A14" s="51">
        <f t="shared" si="0"/>
        <v>13</v>
      </c>
      <c r="B14" s="52" t="s">
        <v>9</v>
      </c>
      <c r="C14" s="54">
        <v>0.50486111111111109</v>
      </c>
      <c r="D14" s="53">
        <v>447</v>
      </c>
      <c r="E14" s="52" t="s">
        <v>37</v>
      </c>
      <c r="F14" s="53">
        <v>1</v>
      </c>
      <c r="G14" s="53" t="s">
        <v>36</v>
      </c>
      <c r="H14" s="55" t="s">
        <v>17</v>
      </c>
    </row>
    <row r="15" spans="1:8" ht="18" x14ac:dyDescent="0.25">
      <c r="A15" s="51">
        <f t="shared" si="0"/>
        <v>14</v>
      </c>
      <c r="B15" s="53" t="s">
        <v>9</v>
      </c>
      <c r="C15" s="54">
        <v>0.50486111111111109</v>
      </c>
      <c r="D15" s="53">
        <v>447</v>
      </c>
      <c r="E15" s="52" t="s">
        <v>38</v>
      </c>
      <c r="F15" s="53">
        <v>1</v>
      </c>
      <c r="G15" s="53" t="s">
        <v>36</v>
      </c>
      <c r="H15" s="55" t="s">
        <v>17</v>
      </c>
    </row>
    <row r="16" spans="1:8" ht="18" x14ac:dyDescent="0.25">
      <c r="A16" s="51">
        <f t="shared" si="0"/>
        <v>15</v>
      </c>
      <c r="B16" s="53" t="s">
        <v>9</v>
      </c>
      <c r="C16" s="54">
        <v>0.51527777777777772</v>
      </c>
      <c r="D16" s="53">
        <v>447</v>
      </c>
      <c r="E16" s="52" t="s">
        <v>39</v>
      </c>
      <c r="F16" s="53">
        <v>1</v>
      </c>
      <c r="G16" s="53" t="s">
        <v>36</v>
      </c>
      <c r="H16" s="55" t="s">
        <v>17</v>
      </c>
    </row>
    <row r="17" spans="1:8" ht="18" x14ac:dyDescent="0.25">
      <c r="A17" s="51">
        <f t="shared" si="0"/>
        <v>16</v>
      </c>
      <c r="B17" s="53" t="s">
        <v>9</v>
      </c>
      <c r="C17" s="54">
        <v>0.51527777777777772</v>
      </c>
      <c r="D17" s="53">
        <v>517</v>
      </c>
      <c r="E17" s="52" t="s">
        <v>40</v>
      </c>
      <c r="F17" s="53">
        <v>1</v>
      </c>
      <c r="G17" s="53" t="s">
        <v>22</v>
      </c>
      <c r="H17" s="55" t="s">
        <v>17</v>
      </c>
    </row>
    <row r="18" spans="1:8" ht="18.75" thickBot="1" x14ac:dyDescent="0.3">
      <c r="A18" s="56">
        <f t="shared" si="0"/>
        <v>17</v>
      </c>
      <c r="B18" s="57" t="s">
        <v>9</v>
      </c>
      <c r="C18" s="59">
        <v>0.52152777777777781</v>
      </c>
      <c r="D18" s="58">
        <v>2739</v>
      </c>
      <c r="E18" s="57" t="s">
        <v>42</v>
      </c>
      <c r="F18" s="58">
        <v>1</v>
      </c>
      <c r="G18" s="58" t="s">
        <v>41</v>
      </c>
      <c r="H18" s="60" t="s">
        <v>17</v>
      </c>
    </row>
    <row r="19" spans="1:8" ht="18" x14ac:dyDescent="0.25">
      <c r="A19" s="61">
        <f t="shared" si="0"/>
        <v>18</v>
      </c>
      <c r="B19" s="62" t="s">
        <v>9</v>
      </c>
      <c r="C19" s="64">
        <v>0.57291666666666663</v>
      </c>
      <c r="D19" s="63" t="s">
        <v>46</v>
      </c>
      <c r="E19" s="62" t="s">
        <v>44</v>
      </c>
      <c r="F19" s="63">
        <v>1</v>
      </c>
      <c r="G19" s="63" t="s">
        <v>43</v>
      </c>
      <c r="H19" s="65" t="s">
        <v>45</v>
      </c>
    </row>
    <row r="20" spans="1:8" ht="18" x14ac:dyDescent="0.25">
      <c r="A20" s="66">
        <f t="shared" si="0"/>
        <v>19</v>
      </c>
      <c r="B20" s="67" t="s">
        <v>9</v>
      </c>
      <c r="C20" s="69">
        <v>0.57291666666666663</v>
      </c>
      <c r="D20" s="67" t="s">
        <v>46</v>
      </c>
      <c r="E20" s="68" t="s">
        <v>47</v>
      </c>
      <c r="F20" s="67">
        <v>1</v>
      </c>
      <c r="G20" s="67" t="s">
        <v>43</v>
      </c>
      <c r="H20" s="70" t="s">
        <v>45</v>
      </c>
    </row>
    <row r="21" spans="1:8" ht="18" x14ac:dyDescent="0.25">
      <c r="A21" s="66">
        <f t="shared" si="0"/>
        <v>20</v>
      </c>
      <c r="B21" s="67" t="s">
        <v>9</v>
      </c>
      <c r="C21" s="69">
        <v>0.57291666666666663</v>
      </c>
      <c r="D21" s="67">
        <v>397</v>
      </c>
      <c r="E21" s="68" t="s">
        <v>48</v>
      </c>
      <c r="F21" s="67">
        <v>1</v>
      </c>
      <c r="G21" s="67" t="s">
        <v>43</v>
      </c>
      <c r="H21" s="70" t="s">
        <v>49</v>
      </c>
    </row>
    <row r="22" spans="1:8" ht="18" x14ac:dyDescent="0.25">
      <c r="A22" s="66">
        <f t="shared" si="0"/>
        <v>21</v>
      </c>
      <c r="B22" s="68" t="s">
        <v>9</v>
      </c>
      <c r="C22" s="69">
        <v>0.58333333333333337</v>
      </c>
      <c r="D22" s="67" t="s">
        <v>53</v>
      </c>
      <c r="E22" s="68" t="s">
        <v>51</v>
      </c>
      <c r="F22" s="67">
        <v>1</v>
      </c>
      <c r="G22" s="67" t="s">
        <v>50</v>
      </c>
      <c r="H22" s="70" t="s">
        <v>52</v>
      </c>
    </row>
    <row r="23" spans="1:8" ht="18" x14ac:dyDescent="0.25">
      <c r="A23" s="66">
        <f t="shared" si="0"/>
        <v>22</v>
      </c>
      <c r="B23" s="68" t="s">
        <v>9</v>
      </c>
      <c r="C23" s="69">
        <v>0.58333333333333337</v>
      </c>
      <c r="D23" s="67" t="s">
        <v>56</v>
      </c>
      <c r="E23" s="68" t="s">
        <v>55</v>
      </c>
      <c r="F23" s="67">
        <v>1</v>
      </c>
      <c r="G23" s="67" t="s">
        <v>54</v>
      </c>
      <c r="H23" s="70" t="s">
        <v>45</v>
      </c>
    </row>
    <row r="24" spans="1:8" ht="18" x14ac:dyDescent="0.25">
      <c r="A24" s="66">
        <f t="shared" si="0"/>
        <v>23</v>
      </c>
      <c r="B24" s="68" t="s">
        <v>9</v>
      </c>
      <c r="C24" s="69">
        <v>0.58680555555555558</v>
      </c>
      <c r="D24" s="67" t="s">
        <v>53</v>
      </c>
      <c r="E24" s="68" t="s">
        <v>58</v>
      </c>
      <c r="F24" s="67">
        <v>1</v>
      </c>
      <c r="G24" s="67" t="s">
        <v>57</v>
      </c>
      <c r="H24" s="70" t="s">
        <v>52</v>
      </c>
    </row>
    <row r="25" spans="1:8" ht="18" x14ac:dyDescent="0.25">
      <c r="A25" s="66">
        <f t="shared" si="0"/>
        <v>24</v>
      </c>
      <c r="B25" s="67" t="s">
        <v>9</v>
      </c>
      <c r="C25" s="69">
        <v>0.59375</v>
      </c>
      <c r="D25" s="67" t="s">
        <v>61</v>
      </c>
      <c r="E25" s="68" t="s">
        <v>60</v>
      </c>
      <c r="F25" s="67">
        <v>1</v>
      </c>
      <c r="G25" s="67" t="s">
        <v>59</v>
      </c>
      <c r="H25" s="70" t="s">
        <v>45</v>
      </c>
    </row>
    <row r="26" spans="1:8" ht="18" x14ac:dyDescent="0.25">
      <c r="A26" s="66">
        <f t="shared" si="0"/>
        <v>25</v>
      </c>
      <c r="B26" s="67" t="s">
        <v>9</v>
      </c>
      <c r="C26" s="69">
        <v>0.59375</v>
      </c>
      <c r="D26" s="67" t="s">
        <v>63</v>
      </c>
      <c r="E26" s="68" t="s">
        <v>62</v>
      </c>
      <c r="F26" s="67">
        <v>1</v>
      </c>
      <c r="G26" s="67" t="s">
        <v>59</v>
      </c>
      <c r="H26" s="70" t="s">
        <v>45</v>
      </c>
    </row>
    <row r="27" spans="1:8" ht="18.75" thickBot="1" x14ac:dyDescent="0.3">
      <c r="A27" s="66">
        <f t="shared" si="0"/>
        <v>26</v>
      </c>
      <c r="B27" s="71" t="s">
        <v>9</v>
      </c>
      <c r="C27" s="73">
        <v>0.60555555555555551</v>
      </c>
      <c r="D27" s="72" t="s">
        <v>67</v>
      </c>
      <c r="E27" s="71" t="s">
        <v>66</v>
      </c>
      <c r="F27" s="72">
        <v>1</v>
      </c>
      <c r="G27" s="72" t="s">
        <v>64</v>
      </c>
      <c r="H27" s="74" t="s">
        <v>65</v>
      </c>
    </row>
    <row r="28" spans="1:8" ht="18" x14ac:dyDescent="0.25">
      <c r="A28" s="66">
        <f t="shared" si="0"/>
        <v>27</v>
      </c>
      <c r="B28" s="75" t="s">
        <v>9</v>
      </c>
      <c r="C28" s="77">
        <v>0.63194444444444442</v>
      </c>
      <c r="D28" s="76">
        <v>483</v>
      </c>
      <c r="E28" s="75" t="s">
        <v>69</v>
      </c>
      <c r="F28" s="76">
        <v>1</v>
      </c>
      <c r="G28" s="76" t="s">
        <v>68</v>
      </c>
      <c r="H28" s="78" t="s">
        <v>70</v>
      </c>
    </row>
    <row r="29" spans="1:8" ht="18" x14ac:dyDescent="0.25">
      <c r="A29" s="66">
        <f t="shared" si="0"/>
        <v>28</v>
      </c>
      <c r="B29" s="79" t="s">
        <v>9</v>
      </c>
      <c r="C29" s="81">
        <v>0.63888888888888884</v>
      </c>
      <c r="D29" s="80">
        <v>1082</v>
      </c>
      <c r="E29" s="79" t="s">
        <v>72</v>
      </c>
      <c r="F29" s="80">
        <v>1</v>
      </c>
      <c r="G29" s="80" t="s">
        <v>71</v>
      </c>
      <c r="H29" s="82" t="s">
        <v>17</v>
      </c>
    </row>
    <row r="30" spans="1:8" ht="18" x14ac:dyDescent="0.25">
      <c r="A30" s="66">
        <f t="shared" si="0"/>
        <v>29</v>
      </c>
      <c r="B30" s="79" t="s">
        <v>9</v>
      </c>
      <c r="C30" s="81">
        <v>0.69444444444444442</v>
      </c>
      <c r="D30" s="80" t="s">
        <v>73</v>
      </c>
      <c r="E30" s="79" t="s">
        <v>75</v>
      </c>
      <c r="F30" s="80">
        <v>2</v>
      </c>
      <c r="G30" s="80" t="s">
        <v>34</v>
      </c>
      <c r="H30" s="82" t="s">
        <v>17</v>
      </c>
    </row>
    <row r="31" spans="1:8" ht="18.75" thickBot="1" x14ac:dyDescent="0.3">
      <c r="A31" s="66">
        <f t="shared" si="0"/>
        <v>30</v>
      </c>
      <c r="B31" s="83" t="s">
        <v>9</v>
      </c>
      <c r="C31" s="85">
        <v>0.71805555555555556</v>
      </c>
      <c r="D31" s="83">
        <v>333</v>
      </c>
      <c r="E31" s="84" t="s">
        <v>74</v>
      </c>
      <c r="F31" s="83">
        <v>1</v>
      </c>
      <c r="G31" s="83" t="s">
        <v>15</v>
      </c>
      <c r="H31" s="99" t="s">
        <v>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5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Departure Schedule</vt:lpstr>
      <vt:lpstr>Departures - 11 Sep</vt:lpstr>
      <vt:lpstr>'Departures - 11 Sep'!Print_Area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Liza Christian</dc:creator>
  <cp:lastModifiedBy>Jose Romero</cp:lastModifiedBy>
  <cp:lastPrinted>2026-09-03T21:03:01Z</cp:lastPrinted>
  <dcterms:created xsi:type="dcterms:W3CDTF">2026-09-03T20:34:42Z</dcterms:created>
  <dcterms:modified xsi:type="dcterms:W3CDTF">2026-09-08T13:49:27Z</dcterms:modified>
</cp:coreProperties>
</file>